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1058369/Library/CloudStorage/Dropbox/Pieter/ANU/ATLS project/2023 Heat load experiment/Heat Load Methods Paper/Example/"/>
    </mc:Choice>
  </mc:AlternateContent>
  <xr:revisionPtr revIDLastSave="0" documentId="8_{5E4DAF4A-B652-5044-AF16-4D14360E4313}" xr6:coauthVersionLast="47" xr6:coauthVersionMax="47" xr10:uidLastSave="{00000000-0000-0000-0000-000000000000}"/>
  <bookViews>
    <workbookView xWindow="2300" yWindow="2320" windowWidth="26840" windowHeight="15940" xr2:uid="{3EE575AB-7932-7D45-B05C-F2671A99CD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G5" i="1" s="1"/>
  <c r="J5" i="1" s="1"/>
  <c r="D6" i="1"/>
  <c r="D7" i="1"/>
  <c r="D8" i="1"/>
  <c r="G8" i="1" s="1"/>
  <c r="J8" i="1" s="1"/>
  <c r="D9" i="1"/>
  <c r="G9" i="1" s="1"/>
  <c r="J9" i="1" s="1"/>
  <c r="D10" i="1"/>
  <c r="D11" i="1"/>
  <c r="D12" i="1"/>
  <c r="D13" i="1"/>
  <c r="D14" i="1"/>
  <c r="D15" i="1"/>
  <c r="G15" i="1" s="1"/>
  <c r="J15" i="1" s="1"/>
  <c r="D16" i="1"/>
  <c r="G16" i="1" s="1"/>
  <c r="D17" i="1"/>
  <c r="D18" i="1"/>
  <c r="D19" i="1"/>
  <c r="D20" i="1"/>
  <c r="D21" i="1"/>
  <c r="D22" i="1"/>
  <c r="D23" i="1"/>
  <c r="G23" i="1" s="1"/>
  <c r="D24" i="1"/>
  <c r="G24" i="1" s="1"/>
  <c r="D25" i="1"/>
  <c r="G25" i="1" s="1"/>
  <c r="D26" i="1"/>
  <c r="D27" i="1"/>
  <c r="D28" i="1"/>
  <c r="D29" i="1"/>
  <c r="D30" i="1"/>
  <c r="J4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G7" i="1"/>
  <c r="J7" i="1" s="1"/>
  <c r="G13" i="1"/>
  <c r="J13" i="1" s="1"/>
  <c r="G19" i="1"/>
  <c r="G30" i="1"/>
  <c r="G6" i="1"/>
  <c r="J6" i="1" s="1"/>
  <c r="G20" i="1"/>
  <c r="G12" i="1"/>
  <c r="J12" i="1" s="1"/>
  <c r="G18" i="1"/>
  <c r="G29" i="1"/>
  <c r="G11" i="1"/>
  <c r="J11" i="1" s="1"/>
  <c r="G17" i="1"/>
  <c r="G28" i="1"/>
  <c r="G4" i="1"/>
  <c r="G10" i="1"/>
  <c r="J10" i="1" s="1"/>
  <c r="G22" i="1"/>
  <c r="G27" i="1"/>
  <c r="G3" i="1"/>
  <c r="G21" i="1"/>
  <c r="G26" i="1"/>
  <c r="G2" i="1"/>
  <c r="G14" i="1"/>
  <c r="J14" i="1" s="1"/>
  <c r="K24" i="1" l="1"/>
  <c r="K16" i="1"/>
  <c r="J3" i="1"/>
  <c r="K3" i="1" s="1"/>
  <c r="K19" i="1"/>
  <c r="K4" i="1"/>
  <c r="K28" i="1"/>
  <c r="K29" i="1"/>
  <c r="K21" i="1"/>
  <c r="K15" i="1"/>
  <c r="K12" i="1"/>
  <c r="J2" i="1"/>
  <c r="K2" i="1" s="1"/>
  <c r="K22" i="1"/>
  <c r="K26" i="1"/>
  <c r="K10" i="1"/>
  <c r="K7" i="1"/>
  <c r="K9" i="1"/>
  <c r="K6" i="1"/>
  <c r="K30" i="1"/>
  <c r="K18" i="1"/>
  <c r="K5" i="1"/>
  <c r="K25" i="1"/>
  <c r="E28" i="1"/>
  <c r="E18" i="1"/>
  <c r="E5" i="1"/>
  <c r="E12" i="1"/>
  <c r="E6" i="1"/>
  <c r="E13" i="1"/>
  <c r="E7" i="1"/>
  <c r="E21" i="1"/>
  <c r="H25" i="1"/>
  <c r="E30" i="1"/>
  <c r="E22" i="1"/>
  <c r="E23" i="1"/>
  <c r="E11" i="1"/>
  <c r="E9" i="1"/>
  <c r="E10" i="1"/>
  <c r="E29" i="1"/>
  <c r="E3" i="1"/>
  <c r="M11" i="1"/>
  <c r="N11" i="1" s="1"/>
  <c r="K11" i="1"/>
  <c r="M17" i="1"/>
  <c r="N17" i="1" s="1"/>
  <c r="K17" i="1"/>
  <c r="M13" i="1"/>
  <c r="N13" i="1" s="1"/>
  <c r="K13" i="1"/>
  <c r="M27" i="1"/>
  <c r="N27" i="1" s="1"/>
  <c r="K27" i="1"/>
  <c r="M23" i="1"/>
  <c r="N23" i="1" s="1"/>
  <c r="K23" i="1"/>
  <c r="M8" i="1"/>
  <c r="N8" i="1" s="1"/>
  <c r="K8" i="1"/>
  <c r="M14" i="1"/>
  <c r="N14" i="1" s="1"/>
  <c r="K14" i="1"/>
  <c r="M20" i="1"/>
  <c r="N20" i="1" s="1"/>
  <c r="K20" i="1"/>
  <c r="H6" i="1"/>
  <c r="H7" i="1"/>
  <c r="E24" i="1"/>
  <c r="E27" i="1"/>
  <c r="H20" i="1"/>
  <c r="E16" i="1"/>
  <c r="H16" i="1"/>
  <c r="H19" i="1"/>
  <c r="H13" i="1"/>
  <c r="H5" i="1"/>
  <c r="E25" i="1"/>
  <c r="E17" i="1"/>
  <c r="E4" i="1"/>
  <c r="H4" i="1"/>
  <c r="E15" i="1"/>
  <c r="E20" i="1"/>
  <c r="H3" i="1"/>
  <c r="E19" i="1"/>
  <c r="E2" i="1"/>
  <c r="E26" i="1"/>
  <c r="E8" i="1"/>
  <c r="E14" i="1"/>
  <c r="M4" i="1"/>
  <c r="N4" i="1" s="1"/>
  <c r="H29" i="1"/>
  <c r="M29" i="1"/>
  <c r="N29" i="1" s="1"/>
  <c r="M7" i="1"/>
  <c r="N7" i="1" s="1"/>
  <c r="M22" i="1"/>
  <c r="N22" i="1" s="1"/>
  <c r="H22" i="1"/>
  <c r="M24" i="1"/>
  <c r="N24" i="1" s="1"/>
  <c r="H24" i="1"/>
  <c r="M26" i="1"/>
  <c r="N26" i="1" s="1"/>
  <c r="M18" i="1"/>
  <c r="N18" i="1" s="1"/>
  <c r="H18" i="1"/>
  <c r="M25" i="1"/>
  <c r="N25" i="1" s="1"/>
  <c r="M9" i="1"/>
  <c r="N9" i="1" s="1"/>
  <c r="H9" i="1"/>
  <c r="H10" i="1"/>
  <c r="M10" i="1"/>
  <c r="N10" i="1" s="1"/>
  <c r="H26" i="1"/>
  <c r="M6" i="1"/>
  <c r="N6" i="1" s="1"/>
  <c r="H21" i="1"/>
  <c r="M21" i="1"/>
  <c r="N21" i="1" s="1"/>
  <c r="M12" i="1"/>
  <c r="N12" i="1" s="1"/>
  <c r="H12" i="1"/>
  <c r="M19" i="1"/>
  <c r="N19" i="1" s="1"/>
  <c r="M3" i="1"/>
  <c r="N3" i="1" s="1"/>
  <c r="H2" i="1"/>
  <c r="M2" i="1"/>
  <c r="N2" i="1" s="1"/>
  <c r="M30" i="1"/>
  <c r="N30" i="1" s="1"/>
  <c r="H30" i="1"/>
  <c r="H15" i="1"/>
  <c r="M15" i="1"/>
  <c r="N15" i="1" s="1"/>
  <c r="M16" i="1"/>
  <c r="N16" i="1" s="1"/>
  <c r="M28" i="1"/>
  <c r="N28" i="1" s="1"/>
  <c r="H28" i="1"/>
  <c r="M5" i="1"/>
  <c r="N5" i="1" s="1"/>
  <c r="H8" i="1"/>
  <c r="H11" i="1"/>
  <c r="H14" i="1"/>
  <c r="H17" i="1"/>
  <c r="H23" i="1"/>
  <c r="H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tc={9FDC0333-132A-9C4C-96C6-4707CCE9E5F5}</author>
    <author>tc={B5ED7746-3BDB-9045-B1B9-AD8B312133F0}</author>
    <author>tc={26C433D9-F301-8D4A-83BE-441F388FFCBF}</author>
    <author>tc={2B6169CE-9E0A-EC49-B0CC-C8247C8D43DC}</author>
    <author>tc={C25F1B8A-FF4B-E94E-B47C-B9AF8BDE1300}</author>
    <author>tc={93E78D62-A370-A34A-AFF1-0E0D8950B4F1}</author>
  </authors>
  <commentList>
    <comment ref="C2" authorId="0" shapeId="0" xr:uid="{9FDC0333-132A-9C4C-96C6-4707CCE9E5F5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time as 24 h format, e.g. 13:30 for 1:30pm. Columns to right will autofill with this time + duration</t>
      </text>
    </comment>
    <comment ref="F2" authorId="1" shapeId="0" xr:uid="{B5ED7746-3BDB-9045-B1B9-AD8B312133F0}">
      <text>
        <t>[Threaded comment]
Your version of Excel allows you to read this threaded comment; however, any edits to it will get removed if the file is opened in a newer version of Excel. Learn more: https://go.microsoft.com/fwlink/?linkid=870924
Comment:
    Type yes in here to trigger that event as completed (i.e. sample array finished heat treatment and moved to light bench</t>
      </text>
    </comment>
    <comment ref="I2" authorId="2" shapeId="0" xr:uid="{26C433D9-F301-8D4A-83BE-441F388FFCBF}">
      <text>
        <t>[Threaded comment]
Your version of Excel allows you to read this threaded comment; however, any edits to it will get removed if the file is opened in a newer version of Excel. Learn more: https://go.microsoft.com/fwlink/?linkid=870924
Comment:
    Type yes here when the sample array has completed light exposure post heat and moved to dark adapt again</t>
      </text>
    </comment>
    <comment ref="L2" authorId="3" shapeId="0" xr:uid="{2B6169CE-9E0A-EC49-B0CC-C8247C8D43DC}">
      <text>
        <t>[Threaded comment]
Your version of Excel allows you to read this threaded comment; however, any edits to it will get removed if the file is opened in a newer version of Excel. Learn more: https://go.microsoft.com/fwlink/?linkid=870924
Comment:
    Type yes here if measuring post heat Fv/Fm, otherwise ignore</t>
      </text>
    </comment>
    <comment ref="M2" authorId="4" shapeId="0" xr:uid="{C25F1B8A-FF4B-E94E-B47C-B9AF8BDE1300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16h after the heat and post-heat light treatments</t>
      </text>
    </comment>
    <comment ref="N2" authorId="5" shapeId="0" xr:uid="{93E78D62-A370-A34A-AFF1-0E0D8950B4F1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24h after the heat and post-heat light treatments</t>
      </text>
    </comment>
  </commentList>
</comments>
</file>

<file path=xl/sharedStrings.xml><?xml version="1.0" encoding="utf-8"?>
<sst xmlns="http://schemas.openxmlformats.org/spreadsheetml/2006/main" count="17" uniqueCount="15">
  <si>
    <t>Temp</t>
  </si>
  <si>
    <t>Dur</t>
  </si>
  <si>
    <t>In bath</t>
  </si>
  <si>
    <t>Out bath</t>
  </si>
  <si>
    <t>Next out bath</t>
  </si>
  <si>
    <t>Light bench</t>
  </si>
  <si>
    <t>Out light</t>
  </si>
  <si>
    <t>Next out light</t>
  </si>
  <si>
    <t>Done</t>
  </si>
  <si>
    <t>Dark</t>
  </si>
  <si>
    <t>Earliest next day</t>
  </si>
  <si>
    <t>yes</t>
  </si>
  <si>
    <t>Post</t>
  </si>
  <si>
    <t>Out dark</t>
  </si>
  <si>
    <t>Latest next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</si>
</sst>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Tahoma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0" fillId="0" borderId="0" xfId="0" applyNumberFormat="1"/>
    <xf numFmtId="164" fontId="4" fillId="0" borderId="0" xfId="0" applyNumberFormat="1" applyFont="1"/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ieter Arnold" id="{9CFDBEB5-A843-824A-89AF-0D1C092FF867}" userId="S::u1058369@anu.edu.au::66aa7bec-94b5-4376-93d1-cce74fcb448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6-05-01T01:09:01.32" personId="{9CFDBEB5-A843-824A-89AF-0D1C092FF867}" id="{9FDC0333-132A-9C4C-96C6-4707CCE9E5F5}">
    <text>Enter time as 24 h format, e.g. 13:30 for 1:30pm. Columns to right will autofill with this time + duration</text>
  </threadedComment>
  <threadedComment ref="F2" dT="2026-05-01T01:10:14.50" personId="{9CFDBEB5-A843-824A-89AF-0D1C092FF867}" id="{B5ED7746-3BDB-9045-B1B9-AD8B312133F0}">
    <text>Type yes in here to trigger that event as completed (i.e. sample array finished heat treatment and moved to light bench</text>
  </threadedComment>
  <threadedComment ref="I2" dT="2026-05-01T01:11:14.08" personId="{9CFDBEB5-A843-824A-89AF-0D1C092FF867}" id="{26C433D9-F301-8D4A-83BE-441F388FFCBF}">
    <text>Type yes here when the sample array has completed light exposure post heat and moved to dark adapt again</text>
  </threadedComment>
  <threadedComment ref="L2" dT="2026-05-01T01:11:43.21" personId="{9CFDBEB5-A843-824A-89AF-0D1C092FF867}" id="{2B6169CE-9E0A-EC49-B0CC-C8247C8D43DC}">
    <text>Type yes here if measuring post heat Fv/Fm, otherwise ignore</text>
  </threadedComment>
  <threadedComment ref="M2" dT="2026-05-01T01:12:08.98" personId="{9CFDBEB5-A843-824A-89AF-0D1C092FF867}" id="{C25F1B8A-FF4B-E94E-B47C-B9AF8BDE1300}">
    <text>This is 16h after the heat and post-heat light treatments</text>
  </threadedComment>
  <threadedComment ref="N2" dT="2026-05-01T01:12:18.65" personId="{9CFDBEB5-A843-824A-89AF-0D1C092FF867}" id="{93E78D62-A370-A34A-AFF1-0E0D8950B4F1}">
    <text>This is 24h after the heat and post-heat light treatments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81240-2D7B-934F-8027-662DA4EE0AEB}">
  <dimension ref="A1:N30"/>
  <sheetViews>
    <sheetView tabSelected="1" zoomScale="160" zoomScaleNormal="160" workbookViewId="0">
      <pane ySplit="1" topLeftCell="A2" activePane="bottomLeft" state="frozen"/>
      <selection pane="bottomLeft" activeCell="D8" sqref="D8"/>
    </sheetView>
  </sheetViews>
  <sheetFormatPr baseColWidth="10" defaultRowHeight="16" x14ac:dyDescent="0.2"/>
  <cols>
    <col min="1" max="1" width="5.5" bestFit="1" customWidth="1"/>
    <col min="2" max="2" width="4.1640625" bestFit="1" customWidth="1"/>
    <col min="3" max="4" width="10.1640625" bestFit="1" customWidth="1"/>
    <col min="5" max="5" width="11.6640625" bestFit="1" customWidth="1"/>
    <col min="6" max="7" width="10.1640625" bestFit="1" customWidth="1"/>
    <col min="8" max="8" width="11.6640625" bestFit="1" customWidth="1"/>
    <col min="9" max="9" width="5.33203125" bestFit="1" customWidth="1"/>
    <col min="10" max="11" width="10.1640625" bestFit="1" customWidth="1"/>
    <col min="12" max="12" width="4.6640625" bestFit="1" customWidth="1"/>
    <col min="13" max="13" width="14.5" bestFit="1" customWidth="1"/>
    <col min="14" max="14" width="12.83203125" bestFit="1" customWidth="1"/>
  </cols>
  <sheetData>
    <row r="1" spans="1:14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13</v>
      </c>
      <c r="K1" s="2" t="s">
        <v>9</v>
      </c>
      <c r="L1" s="2" t="s">
        <v>12</v>
      </c>
      <c r="M1" s="3" t="s">
        <v>10</v>
      </c>
      <c r="N1" s="2" t="s">
        <v>14</v>
      </c>
    </row>
    <row r="2" spans="1:14" x14ac:dyDescent="0.2">
      <c r="A2">
        <v>28</v>
      </c>
      <c r="B2">
        <v>120</v>
      </c>
      <c r="C2" s="5">
        <v>0.5625</v>
      </c>
      <c r="D2" s="4">
        <f t="shared" ref="D2:D30" si="0">IF(ISBLANK(C2),"",C2+(B2*(1/1440)))</f>
        <v>0.64583333333333337</v>
      </c>
      <c r="E2" s="4" t="str">
        <f t="shared" ref="E2:E30" si="1">IF(OR(F2="yes",F2="not yet"),"",D2)</f>
        <v/>
      </c>
      <c r="F2" s="4" t="s">
        <v>11</v>
      </c>
      <c r="G2" s="4">
        <f t="shared" ref="G2:G30" si="2">IF(ISBLANK(C2),"not yet",D2+(90*(1/1440)))</f>
        <v>0.70833333333333337</v>
      </c>
      <c r="H2" s="4" t="str">
        <f t="shared" ref="H2:H30" si="3">IF(OR(I2="yes",I2="not yet"),"",G2)</f>
        <v/>
      </c>
      <c r="I2" s="4" t="s">
        <v>11</v>
      </c>
      <c r="J2" s="4">
        <f>IF(ISBLANK(F2),"not yet",G2+(15*(1/1440)))</f>
        <v>0.71875</v>
      </c>
      <c r="K2" s="4" t="str">
        <f t="shared" ref="K2:K30" si="4">IF(OR(L2="yes",L2="not yet"),"",J2)</f>
        <v/>
      </c>
      <c r="L2" s="4" t="s">
        <v>11</v>
      </c>
      <c r="M2" s="4">
        <f t="shared" ref="M2:M30" si="5">G2+(960*1/1440)</f>
        <v>1.375</v>
      </c>
      <c r="N2" s="4">
        <f>M2+(6*60*(1/1440))</f>
        <v>1.625</v>
      </c>
    </row>
    <row r="3" spans="1:14" x14ac:dyDescent="0.2">
      <c r="A3">
        <v>34</v>
      </c>
      <c r="B3">
        <v>120</v>
      </c>
      <c r="C3" s="4">
        <v>0.56388888888888888</v>
      </c>
      <c r="D3" s="4">
        <f t="shared" si="0"/>
        <v>0.64722222222222225</v>
      </c>
      <c r="E3" s="4">
        <f t="shared" si="1"/>
        <v>0.64722222222222225</v>
      </c>
      <c r="F3" s="4"/>
      <c r="G3" s="4">
        <f t="shared" si="2"/>
        <v>0.70972222222222225</v>
      </c>
      <c r="H3" s="4">
        <f t="shared" si="3"/>
        <v>0.70972222222222225</v>
      </c>
      <c r="I3" s="4"/>
      <c r="J3" s="4" t="str">
        <f t="shared" ref="J3:J30" si="6">IF(ISBLANK(F3),"not yet",G3+(15*(1/1440)))</f>
        <v>not yet</v>
      </c>
      <c r="K3" s="4" t="str">
        <f t="shared" si="4"/>
        <v>not yet</v>
      </c>
      <c r="L3" s="4"/>
      <c r="M3" s="4">
        <f t="shared" si="5"/>
        <v>1.3763888888888889</v>
      </c>
      <c r="N3" s="4">
        <f t="shared" ref="N3:N30" si="7">M3+(6*60*(1/1440))</f>
        <v>1.6263888888888889</v>
      </c>
    </row>
    <row r="4" spans="1:14" x14ac:dyDescent="0.2">
      <c r="A4">
        <v>39</v>
      </c>
      <c r="B4">
        <v>120</v>
      </c>
      <c r="C4" s="4">
        <v>0.56527777777777777</v>
      </c>
      <c r="D4" s="4">
        <f t="shared" si="0"/>
        <v>0.64861111111111114</v>
      </c>
      <c r="E4" s="4">
        <f t="shared" si="1"/>
        <v>0.64861111111111114</v>
      </c>
      <c r="F4" s="4"/>
      <c r="G4" s="4">
        <f t="shared" si="2"/>
        <v>0.71111111111111114</v>
      </c>
      <c r="H4" s="4">
        <f t="shared" si="3"/>
        <v>0.71111111111111114</v>
      </c>
      <c r="I4" s="4"/>
      <c r="J4" s="4" t="str">
        <f t="shared" si="6"/>
        <v>not yet</v>
      </c>
      <c r="K4" s="4" t="str">
        <f t="shared" si="4"/>
        <v>not yet</v>
      </c>
      <c r="L4" s="4"/>
      <c r="M4" s="4">
        <f t="shared" si="5"/>
        <v>1.3777777777777778</v>
      </c>
      <c r="N4" s="4">
        <f t="shared" si="7"/>
        <v>1.6277777777777778</v>
      </c>
    </row>
    <row r="5" spans="1:14" x14ac:dyDescent="0.2">
      <c r="A5">
        <v>42</v>
      </c>
      <c r="B5">
        <v>120</v>
      </c>
      <c r="C5" s="4">
        <v>0.56666666666666665</v>
      </c>
      <c r="D5" s="4">
        <f t="shared" si="0"/>
        <v>0.65</v>
      </c>
      <c r="E5" s="4">
        <f t="shared" si="1"/>
        <v>0.65</v>
      </c>
      <c r="F5" s="4"/>
      <c r="G5" s="4">
        <f t="shared" si="2"/>
        <v>0.71250000000000002</v>
      </c>
      <c r="H5" s="4">
        <f t="shared" si="3"/>
        <v>0.71250000000000002</v>
      </c>
      <c r="I5" s="4"/>
      <c r="J5" s="4" t="str">
        <f t="shared" si="6"/>
        <v>not yet</v>
      </c>
      <c r="K5" s="4" t="str">
        <f t="shared" si="4"/>
        <v>not yet</v>
      </c>
      <c r="L5" s="4"/>
      <c r="M5" s="4">
        <f t="shared" si="5"/>
        <v>1.3791666666666667</v>
      </c>
      <c r="N5" s="4">
        <f t="shared" si="7"/>
        <v>1.6291666666666667</v>
      </c>
    </row>
    <row r="6" spans="1:14" x14ac:dyDescent="0.2">
      <c r="A6">
        <v>45</v>
      </c>
      <c r="B6">
        <v>120</v>
      </c>
      <c r="C6" s="4"/>
      <c r="D6" s="4" t="str">
        <f t="shared" si="0"/>
        <v/>
      </c>
      <c r="E6" s="4" t="str">
        <f t="shared" si="1"/>
        <v/>
      </c>
      <c r="F6" s="4"/>
      <c r="G6" s="4" t="str">
        <f t="shared" si="2"/>
        <v>not yet</v>
      </c>
      <c r="H6" s="4" t="str">
        <f t="shared" si="3"/>
        <v>not yet</v>
      </c>
      <c r="I6" s="4"/>
      <c r="J6" s="4" t="str">
        <f t="shared" si="6"/>
        <v>not yet</v>
      </c>
      <c r="K6" s="4" t="str">
        <f t="shared" si="4"/>
        <v>not yet</v>
      </c>
      <c r="L6" s="4"/>
      <c r="M6" s="4" t="e">
        <f t="shared" si="5"/>
        <v>#VALUE!</v>
      </c>
      <c r="N6" s="4" t="e">
        <f t="shared" si="7"/>
        <v>#VALUE!</v>
      </c>
    </row>
    <row r="7" spans="1:14" x14ac:dyDescent="0.2">
      <c r="A7">
        <v>48</v>
      </c>
      <c r="B7">
        <v>120</v>
      </c>
      <c r="C7" s="4"/>
      <c r="D7" s="4" t="str">
        <f t="shared" si="0"/>
        <v/>
      </c>
      <c r="E7" s="4" t="str">
        <f t="shared" si="1"/>
        <v/>
      </c>
      <c r="F7" s="4"/>
      <c r="G7" s="4" t="str">
        <f t="shared" si="2"/>
        <v>not yet</v>
      </c>
      <c r="H7" s="4" t="str">
        <f t="shared" si="3"/>
        <v>not yet</v>
      </c>
      <c r="I7" s="4"/>
      <c r="J7" s="4" t="str">
        <f t="shared" si="6"/>
        <v>not yet</v>
      </c>
      <c r="K7" s="4" t="str">
        <f t="shared" si="4"/>
        <v>not yet</v>
      </c>
      <c r="L7" s="4"/>
      <c r="M7" s="4" t="e">
        <f t="shared" si="5"/>
        <v>#VALUE!</v>
      </c>
      <c r="N7" s="4" t="e">
        <f t="shared" si="7"/>
        <v>#VALUE!</v>
      </c>
    </row>
    <row r="8" spans="1:14" x14ac:dyDescent="0.2">
      <c r="A8">
        <v>28</v>
      </c>
      <c r="B8">
        <v>60</v>
      </c>
      <c r="C8" s="4"/>
      <c r="D8" s="4" t="str">
        <f t="shared" si="0"/>
        <v/>
      </c>
      <c r="E8" s="4" t="str">
        <f t="shared" si="1"/>
        <v/>
      </c>
      <c r="F8" s="4"/>
      <c r="G8" s="4" t="str">
        <f t="shared" si="2"/>
        <v>not yet</v>
      </c>
      <c r="H8" s="4" t="str">
        <f t="shared" si="3"/>
        <v>not yet</v>
      </c>
      <c r="I8" s="4"/>
      <c r="J8" s="4" t="str">
        <f t="shared" si="6"/>
        <v>not yet</v>
      </c>
      <c r="K8" s="4" t="str">
        <f t="shared" si="4"/>
        <v>not yet</v>
      </c>
      <c r="L8" s="4"/>
      <c r="M8" s="4" t="e">
        <f t="shared" si="5"/>
        <v>#VALUE!</v>
      </c>
      <c r="N8" s="4" t="e">
        <f t="shared" si="7"/>
        <v>#VALUE!</v>
      </c>
    </row>
    <row r="9" spans="1:14" x14ac:dyDescent="0.2">
      <c r="A9">
        <v>34</v>
      </c>
      <c r="B9">
        <v>60</v>
      </c>
      <c r="C9" s="4"/>
      <c r="D9" s="4" t="str">
        <f t="shared" si="0"/>
        <v/>
      </c>
      <c r="E9" s="4" t="str">
        <f t="shared" si="1"/>
        <v/>
      </c>
      <c r="F9" s="4"/>
      <c r="G9" s="4" t="str">
        <f t="shared" si="2"/>
        <v>not yet</v>
      </c>
      <c r="H9" s="4" t="str">
        <f t="shared" si="3"/>
        <v>not yet</v>
      </c>
      <c r="I9" s="4"/>
      <c r="J9" s="4" t="str">
        <f t="shared" si="6"/>
        <v>not yet</v>
      </c>
      <c r="K9" s="4" t="str">
        <f t="shared" si="4"/>
        <v>not yet</v>
      </c>
      <c r="L9" s="4"/>
      <c r="M9" s="4" t="e">
        <f t="shared" si="5"/>
        <v>#VALUE!</v>
      </c>
      <c r="N9" s="4" t="e">
        <f t="shared" si="7"/>
        <v>#VALUE!</v>
      </c>
    </row>
    <row r="10" spans="1:14" x14ac:dyDescent="0.2">
      <c r="A10">
        <v>39</v>
      </c>
      <c r="B10">
        <v>60</v>
      </c>
      <c r="C10" s="4"/>
      <c r="D10" s="4" t="str">
        <f t="shared" si="0"/>
        <v/>
      </c>
      <c r="E10" s="4" t="str">
        <f t="shared" si="1"/>
        <v/>
      </c>
      <c r="F10" s="4"/>
      <c r="G10" s="4" t="str">
        <f t="shared" si="2"/>
        <v>not yet</v>
      </c>
      <c r="H10" s="4" t="str">
        <f t="shared" si="3"/>
        <v>not yet</v>
      </c>
      <c r="I10" s="4"/>
      <c r="J10" s="4" t="str">
        <f t="shared" si="6"/>
        <v>not yet</v>
      </c>
      <c r="K10" s="4" t="str">
        <f t="shared" si="4"/>
        <v>not yet</v>
      </c>
      <c r="L10" s="4"/>
      <c r="M10" s="4" t="e">
        <f t="shared" si="5"/>
        <v>#VALUE!</v>
      </c>
      <c r="N10" s="4" t="e">
        <f t="shared" si="7"/>
        <v>#VALUE!</v>
      </c>
    </row>
    <row r="11" spans="1:14" x14ac:dyDescent="0.2">
      <c r="A11">
        <v>42</v>
      </c>
      <c r="B11">
        <v>60</v>
      </c>
      <c r="C11" s="4"/>
      <c r="D11" s="4" t="str">
        <f t="shared" si="0"/>
        <v/>
      </c>
      <c r="E11" s="4" t="str">
        <f t="shared" si="1"/>
        <v/>
      </c>
      <c r="F11" s="4"/>
      <c r="G11" s="4" t="str">
        <f t="shared" si="2"/>
        <v>not yet</v>
      </c>
      <c r="H11" s="4" t="str">
        <f t="shared" si="3"/>
        <v>not yet</v>
      </c>
      <c r="I11" s="4"/>
      <c r="J11" s="4" t="str">
        <f t="shared" si="6"/>
        <v>not yet</v>
      </c>
      <c r="K11" s="4" t="str">
        <f t="shared" si="4"/>
        <v>not yet</v>
      </c>
      <c r="L11" s="4"/>
      <c r="M11" s="4" t="e">
        <f t="shared" si="5"/>
        <v>#VALUE!</v>
      </c>
      <c r="N11" s="4" t="e">
        <f t="shared" si="7"/>
        <v>#VALUE!</v>
      </c>
    </row>
    <row r="12" spans="1:14" x14ac:dyDescent="0.2">
      <c r="A12">
        <v>45</v>
      </c>
      <c r="B12">
        <v>60</v>
      </c>
      <c r="C12" s="4"/>
      <c r="D12" s="4" t="str">
        <f t="shared" si="0"/>
        <v/>
      </c>
      <c r="E12" s="4" t="str">
        <f t="shared" si="1"/>
        <v/>
      </c>
      <c r="F12" s="4"/>
      <c r="G12" s="4" t="str">
        <f t="shared" si="2"/>
        <v>not yet</v>
      </c>
      <c r="H12" s="4" t="str">
        <f t="shared" si="3"/>
        <v>not yet</v>
      </c>
      <c r="I12" s="4"/>
      <c r="J12" s="4" t="str">
        <f t="shared" si="6"/>
        <v>not yet</v>
      </c>
      <c r="K12" s="4" t="str">
        <f t="shared" si="4"/>
        <v>not yet</v>
      </c>
      <c r="L12" s="4"/>
      <c r="M12" s="4" t="e">
        <f t="shared" si="5"/>
        <v>#VALUE!</v>
      </c>
      <c r="N12" s="4" t="e">
        <f t="shared" si="7"/>
        <v>#VALUE!</v>
      </c>
    </row>
    <row r="13" spans="1:14" x14ac:dyDescent="0.2">
      <c r="A13">
        <v>48</v>
      </c>
      <c r="B13">
        <v>60</v>
      </c>
      <c r="C13" s="4"/>
      <c r="D13" s="4" t="str">
        <f t="shared" si="0"/>
        <v/>
      </c>
      <c r="E13" s="4" t="str">
        <f t="shared" si="1"/>
        <v/>
      </c>
      <c r="F13" s="4"/>
      <c r="G13" s="4" t="str">
        <f t="shared" si="2"/>
        <v>not yet</v>
      </c>
      <c r="H13" s="4" t="str">
        <f t="shared" si="3"/>
        <v>not yet</v>
      </c>
      <c r="I13" s="4"/>
      <c r="J13" s="4" t="str">
        <f t="shared" si="6"/>
        <v>not yet</v>
      </c>
      <c r="K13" s="4" t="str">
        <f t="shared" si="4"/>
        <v>not yet</v>
      </c>
      <c r="L13" s="4"/>
      <c r="M13" s="4" t="e">
        <f t="shared" si="5"/>
        <v>#VALUE!</v>
      </c>
      <c r="N13" s="4" t="e">
        <f t="shared" si="7"/>
        <v>#VALUE!</v>
      </c>
    </row>
    <row r="14" spans="1:14" x14ac:dyDescent="0.2">
      <c r="A14">
        <v>28</v>
      </c>
      <c r="B14">
        <v>30</v>
      </c>
      <c r="C14" s="4"/>
      <c r="D14" s="4" t="str">
        <f t="shared" si="0"/>
        <v/>
      </c>
      <c r="E14" s="4" t="str">
        <f t="shared" si="1"/>
        <v/>
      </c>
      <c r="F14" s="4"/>
      <c r="G14" s="4" t="str">
        <f t="shared" si="2"/>
        <v>not yet</v>
      </c>
      <c r="H14" s="4" t="str">
        <f t="shared" si="3"/>
        <v>not yet</v>
      </c>
      <c r="I14" s="4"/>
      <c r="J14" s="4" t="str">
        <f t="shared" si="6"/>
        <v>not yet</v>
      </c>
      <c r="K14" s="4" t="str">
        <f t="shared" si="4"/>
        <v>not yet</v>
      </c>
      <c r="L14" s="4"/>
      <c r="M14" s="4" t="e">
        <f t="shared" si="5"/>
        <v>#VALUE!</v>
      </c>
      <c r="N14" s="4" t="e">
        <f t="shared" si="7"/>
        <v>#VALUE!</v>
      </c>
    </row>
    <row r="15" spans="1:14" x14ac:dyDescent="0.2">
      <c r="A15">
        <v>34</v>
      </c>
      <c r="B15">
        <v>30</v>
      </c>
      <c r="C15" s="4"/>
      <c r="D15" s="4" t="str">
        <f t="shared" si="0"/>
        <v/>
      </c>
      <c r="E15" s="4" t="str">
        <f t="shared" si="1"/>
        <v/>
      </c>
      <c r="F15" s="4"/>
      <c r="G15" s="4" t="str">
        <f t="shared" si="2"/>
        <v>not yet</v>
      </c>
      <c r="H15" s="4" t="str">
        <f t="shared" si="3"/>
        <v>not yet</v>
      </c>
      <c r="I15" s="4"/>
      <c r="J15" s="4" t="str">
        <f t="shared" si="6"/>
        <v>not yet</v>
      </c>
      <c r="K15" s="4" t="str">
        <f t="shared" si="4"/>
        <v>not yet</v>
      </c>
      <c r="L15" s="4"/>
      <c r="M15" s="4" t="e">
        <f t="shared" si="5"/>
        <v>#VALUE!</v>
      </c>
      <c r="N15" s="4" t="e">
        <f t="shared" si="7"/>
        <v>#VALUE!</v>
      </c>
    </row>
    <row r="16" spans="1:14" x14ac:dyDescent="0.2">
      <c r="A16">
        <v>39</v>
      </c>
      <c r="B16">
        <v>30</v>
      </c>
      <c r="C16" s="4"/>
      <c r="D16" s="4" t="str">
        <f t="shared" si="0"/>
        <v/>
      </c>
      <c r="E16" s="4" t="str">
        <f t="shared" si="1"/>
        <v/>
      </c>
      <c r="F16" s="4"/>
      <c r="G16" s="4" t="str">
        <f t="shared" si="2"/>
        <v>not yet</v>
      </c>
      <c r="H16" s="4" t="str">
        <f t="shared" si="3"/>
        <v>not yet</v>
      </c>
      <c r="I16" s="4"/>
      <c r="J16" s="4" t="str">
        <f t="shared" si="6"/>
        <v>not yet</v>
      </c>
      <c r="K16" s="4" t="str">
        <f t="shared" si="4"/>
        <v>not yet</v>
      </c>
      <c r="L16" s="4"/>
      <c r="M16" s="4" t="e">
        <f t="shared" si="5"/>
        <v>#VALUE!</v>
      </c>
      <c r="N16" s="4" t="e">
        <f t="shared" si="7"/>
        <v>#VALUE!</v>
      </c>
    </row>
    <row r="17" spans="1:14" x14ac:dyDescent="0.2">
      <c r="A17">
        <v>42</v>
      </c>
      <c r="B17">
        <v>30</v>
      </c>
      <c r="C17" s="4"/>
      <c r="D17" s="4" t="str">
        <f t="shared" si="0"/>
        <v/>
      </c>
      <c r="E17" s="4" t="str">
        <f t="shared" si="1"/>
        <v/>
      </c>
      <c r="F17" s="4"/>
      <c r="G17" s="4" t="str">
        <f t="shared" si="2"/>
        <v>not yet</v>
      </c>
      <c r="H17" s="4" t="str">
        <f t="shared" si="3"/>
        <v>not yet</v>
      </c>
      <c r="I17" s="4"/>
      <c r="J17" s="4" t="str">
        <f t="shared" si="6"/>
        <v>not yet</v>
      </c>
      <c r="K17" s="4" t="str">
        <f t="shared" si="4"/>
        <v>not yet</v>
      </c>
      <c r="L17" s="4"/>
      <c r="M17" s="4" t="e">
        <f t="shared" si="5"/>
        <v>#VALUE!</v>
      </c>
      <c r="N17" s="4" t="e">
        <f t="shared" si="7"/>
        <v>#VALUE!</v>
      </c>
    </row>
    <row r="18" spans="1:14" x14ac:dyDescent="0.2">
      <c r="A18">
        <v>45</v>
      </c>
      <c r="B18">
        <v>30</v>
      </c>
      <c r="C18" s="4"/>
      <c r="D18" s="4" t="str">
        <f t="shared" si="0"/>
        <v/>
      </c>
      <c r="E18" s="4" t="str">
        <f t="shared" si="1"/>
        <v/>
      </c>
      <c r="F18" s="4"/>
      <c r="G18" s="4" t="str">
        <f t="shared" si="2"/>
        <v>not yet</v>
      </c>
      <c r="H18" s="4" t="str">
        <f t="shared" si="3"/>
        <v>not yet</v>
      </c>
      <c r="I18" s="4"/>
      <c r="J18" s="4" t="str">
        <f t="shared" si="6"/>
        <v>not yet</v>
      </c>
      <c r="K18" s="4" t="str">
        <f t="shared" si="4"/>
        <v>not yet</v>
      </c>
      <c r="L18" s="4"/>
      <c r="M18" s="4" t="e">
        <f t="shared" si="5"/>
        <v>#VALUE!</v>
      </c>
      <c r="N18" s="4" t="e">
        <f t="shared" si="7"/>
        <v>#VALUE!</v>
      </c>
    </row>
    <row r="19" spans="1:14" x14ac:dyDescent="0.2">
      <c r="A19">
        <v>48</v>
      </c>
      <c r="B19">
        <v>30</v>
      </c>
      <c r="C19" s="4"/>
      <c r="D19" s="4" t="str">
        <f t="shared" si="0"/>
        <v/>
      </c>
      <c r="E19" s="4" t="str">
        <f t="shared" si="1"/>
        <v/>
      </c>
      <c r="F19" s="4"/>
      <c r="G19" s="4" t="str">
        <f t="shared" si="2"/>
        <v>not yet</v>
      </c>
      <c r="H19" s="4" t="str">
        <f t="shared" si="3"/>
        <v>not yet</v>
      </c>
      <c r="I19" s="4"/>
      <c r="J19" s="4" t="str">
        <f t="shared" si="6"/>
        <v>not yet</v>
      </c>
      <c r="K19" s="4" t="str">
        <f t="shared" si="4"/>
        <v>not yet</v>
      </c>
      <c r="L19" s="4"/>
      <c r="M19" s="4" t="e">
        <f t="shared" si="5"/>
        <v>#VALUE!</v>
      </c>
      <c r="N19" s="4" t="e">
        <f t="shared" si="7"/>
        <v>#VALUE!</v>
      </c>
    </row>
    <row r="20" spans="1:14" x14ac:dyDescent="0.2">
      <c r="A20">
        <v>28</v>
      </c>
      <c r="B20">
        <v>15</v>
      </c>
      <c r="C20" s="4"/>
      <c r="D20" s="4" t="str">
        <f t="shared" si="0"/>
        <v/>
      </c>
      <c r="E20" s="4" t="str">
        <f t="shared" si="1"/>
        <v/>
      </c>
      <c r="F20" s="4"/>
      <c r="G20" s="4" t="str">
        <f t="shared" si="2"/>
        <v>not yet</v>
      </c>
      <c r="H20" s="4" t="str">
        <f t="shared" si="3"/>
        <v>not yet</v>
      </c>
      <c r="I20" s="4"/>
      <c r="J20" s="4" t="str">
        <f t="shared" si="6"/>
        <v>not yet</v>
      </c>
      <c r="K20" s="4" t="str">
        <f t="shared" si="4"/>
        <v>not yet</v>
      </c>
      <c r="L20" s="4"/>
      <c r="M20" s="4" t="e">
        <f t="shared" si="5"/>
        <v>#VALUE!</v>
      </c>
      <c r="N20" s="4" t="e">
        <f t="shared" si="7"/>
        <v>#VALUE!</v>
      </c>
    </row>
    <row r="21" spans="1:14" x14ac:dyDescent="0.2">
      <c r="A21">
        <v>34</v>
      </c>
      <c r="B21">
        <v>15</v>
      </c>
      <c r="C21" s="4"/>
      <c r="D21" s="4" t="str">
        <f t="shared" si="0"/>
        <v/>
      </c>
      <c r="E21" s="4" t="str">
        <f t="shared" si="1"/>
        <v/>
      </c>
      <c r="F21" s="4"/>
      <c r="G21" s="4" t="str">
        <f t="shared" si="2"/>
        <v>not yet</v>
      </c>
      <c r="H21" s="4" t="str">
        <f t="shared" si="3"/>
        <v>not yet</v>
      </c>
      <c r="I21" s="4"/>
      <c r="J21" s="4" t="str">
        <f t="shared" si="6"/>
        <v>not yet</v>
      </c>
      <c r="K21" s="4" t="str">
        <f t="shared" si="4"/>
        <v>not yet</v>
      </c>
      <c r="L21" s="4"/>
      <c r="M21" s="4" t="e">
        <f t="shared" si="5"/>
        <v>#VALUE!</v>
      </c>
      <c r="N21" s="4" t="e">
        <f t="shared" si="7"/>
        <v>#VALUE!</v>
      </c>
    </row>
    <row r="22" spans="1:14" x14ac:dyDescent="0.2">
      <c r="A22">
        <v>39</v>
      </c>
      <c r="B22">
        <v>15</v>
      </c>
      <c r="C22" s="4"/>
      <c r="D22" s="4" t="str">
        <f t="shared" si="0"/>
        <v/>
      </c>
      <c r="E22" s="4" t="str">
        <f t="shared" si="1"/>
        <v/>
      </c>
      <c r="F22" s="4"/>
      <c r="G22" s="4" t="str">
        <f t="shared" si="2"/>
        <v>not yet</v>
      </c>
      <c r="H22" s="4" t="str">
        <f t="shared" si="3"/>
        <v>not yet</v>
      </c>
      <c r="I22" s="4"/>
      <c r="J22" s="4" t="str">
        <f t="shared" si="6"/>
        <v>not yet</v>
      </c>
      <c r="K22" s="4" t="str">
        <f t="shared" si="4"/>
        <v>not yet</v>
      </c>
      <c r="L22" s="4"/>
      <c r="M22" s="4" t="e">
        <f t="shared" si="5"/>
        <v>#VALUE!</v>
      </c>
      <c r="N22" s="4" t="e">
        <f t="shared" si="7"/>
        <v>#VALUE!</v>
      </c>
    </row>
    <row r="23" spans="1:14" x14ac:dyDescent="0.2">
      <c r="A23">
        <v>42</v>
      </c>
      <c r="B23">
        <v>15</v>
      </c>
      <c r="C23" s="4"/>
      <c r="D23" s="4" t="str">
        <f t="shared" si="0"/>
        <v/>
      </c>
      <c r="E23" s="4" t="str">
        <f t="shared" si="1"/>
        <v/>
      </c>
      <c r="F23" s="4"/>
      <c r="G23" s="4" t="str">
        <f t="shared" si="2"/>
        <v>not yet</v>
      </c>
      <c r="H23" s="4" t="str">
        <f t="shared" si="3"/>
        <v>not yet</v>
      </c>
      <c r="I23" s="4"/>
      <c r="J23" s="4" t="str">
        <f t="shared" si="6"/>
        <v>not yet</v>
      </c>
      <c r="K23" s="4" t="str">
        <f t="shared" si="4"/>
        <v>not yet</v>
      </c>
      <c r="L23" s="4"/>
      <c r="M23" s="4" t="e">
        <f t="shared" si="5"/>
        <v>#VALUE!</v>
      </c>
      <c r="N23" s="4" t="e">
        <f t="shared" si="7"/>
        <v>#VALUE!</v>
      </c>
    </row>
    <row r="24" spans="1:14" x14ac:dyDescent="0.2">
      <c r="A24">
        <v>45</v>
      </c>
      <c r="B24">
        <v>15</v>
      </c>
      <c r="C24" s="4"/>
      <c r="D24" s="4" t="str">
        <f t="shared" si="0"/>
        <v/>
      </c>
      <c r="E24" s="4" t="str">
        <f t="shared" si="1"/>
        <v/>
      </c>
      <c r="F24" s="4"/>
      <c r="G24" s="4" t="str">
        <f t="shared" si="2"/>
        <v>not yet</v>
      </c>
      <c r="H24" s="4" t="str">
        <f t="shared" si="3"/>
        <v>not yet</v>
      </c>
      <c r="I24" s="4"/>
      <c r="J24" s="4" t="str">
        <f t="shared" si="6"/>
        <v>not yet</v>
      </c>
      <c r="K24" s="4" t="str">
        <f t="shared" si="4"/>
        <v>not yet</v>
      </c>
      <c r="L24" s="4"/>
      <c r="M24" s="4" t="e">
        <f t="shared" si="5"/>
        <v>#VALUE!</v>
      </c>
      <c r="N24" s="4" t="e">
        <f t="shared" si="7"/>
        <v>#VALUE!</v>
      </c>
    </row>
    <row r="25" spans="1:14" x14ac:dyDescent="0.2">
      <c r="A25">
        <v>48</v>
      </c>
      <c r="B25">
        <v>15</v>
      </c>
      <c r="C25" s="4"/>
      <c r="D25" s="4" t="str">
        <f t="shared" si="0"/>
        <v/>
      </c>
      <c r="E25" s="4" t="str">
        <f t="shared" si="1"/>
        <v/>
      </c>
      <c r="F25" s="4"/>
      <c r="G25" s="4" t="str">
        <f t="shared" si="2"/>
        <v>not yet</v>
      </c>
      <c r="H25" s="4" t="str">
        <f t="shared" si="3"/>
        <v>not yet</v>
      </c>
      <c r="I25" s="4"/>
      <c r="J25" s="4" t="str">
        <f t="shared" si="6"/>
        <v>not yet</v>
      </c>
      <c r="K25" s="4" t="str">
        <f t="shared" si="4"/>
        <v>not yet</v>
      </c>
      <c r="L25" s="4"/>
      <c r="M25" s="4" t="e">
        <f t="shared" si="5"/>
        <v>#VALUE!</v>
      </c>
      <c r="N25" s="4" t="e">
        <f t="shared" si="7"/>
        <v>#VALUE!</v>
      </c>
    </row>
    <row r="26" spans="1:14" x14ac:dyDescent="0.2">
      <c r="A26">
        <v>34</v>
      </c>
      <c r="B26">
        <v>5</v>
      </c>
      <c r="C26" s="4"/>
      <c r="D26" s="4" t="str">
        <f t="shared" si="0"/>
        <v/>
      </c>
      <c r="E26" s="4" t="str">
        <f t="shared" si="1"/>
        <v/>
      </c>
      <c r="F26" s="4"/>
      <c r="G26" s="4" t="str">
        <f t="shared" si="2"/>
        <v>not yet</v>
      </c>
      <c r="H26" s="4" t="str">
        <f t="shared" si="3"/>
        <v>not yet</v>
      </c>
      <c r="I26" s="4"/>
      <c r="J26" s="4" t="str">
        <f t="shared" si="6"/>
        <v>not yet</v>
      </c>
      <c r="K26" s="4" t="str">
        <f t="shared" si="4"/>
        <v>not yet</v>
      </c>
      <c r="L26" s="4"/>
      <c r="M26" s="4" t="e">
        <f t="shared" si="5"/>
        <v>#VALUE!</v>
      </c>
      <c r="N26" s="4" t="e">
        <f t="shared" si="7"/>
        <v>#VALUE!</v>
      </c>
    </row>
    <row r="27" spans="1:14" x14ac:dyDescent="0.2">
      <c r="A27">
        <v>39</v>
      </c>
      <c r="B27">
        <v>5</v>
      </c>
      <c r="C27" s="4"/>
      <c r="D27" s="4" t="str">
        <f t="shared" si="0"/>
        <v/>
      </c>
      <c r="E27" s="4" t="str">
        <f t="shared" si="1"/>
        <v/>
      </c>
      <c r="F27" s="4"/>
      <c r="G27" s="4" t="str">
        <f t="shared" si="2"/>
        <v>not yet</v>
      </c>
      <c r="H27" s="4" t="str">
        <f t="shared" si="3"/>
        <v>not yet</v>
      </c>
      <c r="I27" s="4"/>
      <c r="J27" s="4" t="str">
        <f t="shared" si="6"/>
        <v>not yet</v>
      </c>
      <c r="K27" s="4" t="str">
        <f t="shared" si="4"/>
        <v>not yet</v>
      </c>
      <c r="L27" s="4"/>
      <c r="M27" s="4" t="e">
        <f t="shared" si="5"/>
        <v>#VALUE!</v>
      </c>
      <c r="N27" s="4" t="e">
        <f t="shared" si="7"/>
        <v>#VALUE!</v>
      </c>
    </row>
    <row r="28" spans="1:14" x14ac:dyDescent="0.2">
      <c r="A28">
        <v>42</v>
      </c>
      <c r="B28">
        <v>5</v>
      </c>
      <c r="C28" s="4"/>
      <c r="D28" s="4" t="str">
        <f t="shared" si="0"/>
        <v/>
      </c>
      <c r="E28" s="4" t="str">
        <f t="shared" si="1"/>
        <v/>
      </c>
      <c r="F28" s="4"/>
      <c r="G28" s="4" t="str">
        <f t="shared" si="2"/>
        <v>not yet</v>
      </c>
      <c r="H28" s="4" t="str">
        <f t="shared" si="3"/>
        <v>not yet</v>
      </c>
      <c r="I28" s="4"/>
      <c r="J28" s="4" t="str">
        <f t="shared" si="6"/>
        <v>not yet</v>
      </c>
      <c r="K28" s="4" t="str">
        <f t="shared" si="4"/>
        <v>not yet</v>
      </c>
      <c r="L28" s="4"/>
      <c r="M28" s="4" t="e">
        <f t="shared" si="5"/>
        <v>#VALUE!</v>
      </c>
      <c r="N28" s="4" t="e">
        <f t="shared" si="7"/>
        <v>#VALUE!</v>
      </c>
    </row>
    <row r="29" spans="1:14" x14ac:dyDescent="0.2">
      <c r="A29">
        <v>45</v>
      </c>
      <c r="B29">
        <v>5</v>
      </c>
      <c r="C29" s="4"/>
      <c r="D29" s="4" t="str">
        <f t="shared" si="0"/>
        <v/>
      </c>
      <c r="E29" s="4" t="str">
        <f t="shared" si="1"/>
        <v/>
      </c>
      <c r="F29" s="4"/>
      <c r="G29" s="4" t="str">
        <f t="shared" si="2"/>
        <v>not yet</v>
      </c>
      <c r="H29" s="4" t="str">
        <f t="shared" si="3"/>
        <v>not yet</v>
      </c>
      <c r="I29" s="4"/>
      <c r="J29" s="4" t="str">
        <f t="shared" si="6"/>
        <v>not yet</v>
      </c>
      <c r="K29" s="4" t="str">
        <f t="shared" si="4"/>
        <v>not yet</v>
      </c>
      <c r="L29" s="4"/>
      <c r="M29" s="4" t="e">
        <f t="shared" si="5"/>
        <v>#VALUE!</v>
      </c>
      <c r="N29" s="4" t="e">
        <f t="shared" si="7"/>
        <v>#VALUE!</v>
      </c>
    </row>
    <row r="30" spans="1:14" x14ac:dyDescent="0.2">
      <c r="A30">
        <v>48</v>
      </c>
      <c r="B30">
        <v>5</v>
      </c>
      <c r="C30" s="4"/>
      <c r="D30" s="4" t="str">
        <f t="shared" si="0"/>
        <v/>
      </c>
      <c r="E30" s="4" t="str">
        <f t="shared" si="1"/>
        <v/>
      </c>
      <c r="F30" s="4"/>
      <c r="G30" s="4" t="str">
        <f t="shared" si="2"/>
        <v>not yet</v>
      </c>
      <c r="H30" s="4" t="str">
        <f t="shared" si="3"/>
        <v>not yet</v>
      </c>
      <c r="I30" s="4"/>
      <c r="J30" s="4" t="str">
        <f t="shared" si="6"/>
        <v>not yet</v>
      </c>
      <c r="K30" s="4" t="str">
        <f t="shared" si="4"/>
        <v>not yet</v>
      </c>
      <c r="L30" s="4"/>
      <c r="M30" s="4" t="e">
        <f t="shared" si="5"/>
        <v>#VALUE!</v>
      </c>
      <c r="N30" s="4" t="e">
        <f t="shared" si="7"/>
        <v>#VALUE!</v>
      </c>
    </row>
  </sheetData>
  <sortState xmlns:xlrd2="http://schemas.microsoft.com/office/spreadsheetml/2017/richdata2" ref="A2:M30">
    <sortCondition descending="1" ref="B2:B30"/>
    <sortCondition ref="A2:A30"/>
  </sortState>
  <conditionalFormatting sqref="E1:E30">
    <cfRule type="colorScale" priority="28">
      <colorScale>
        <cfvo type="min"/>
        <cfvo type="percent" val="25"/>
        <cfvo type="max"/>
        <color theme="4"/>
        <color theme="8" tint="0.79998168889431442"/>
        <color theme="0"/>
      </colorScale>
    </cfRule>
  </conditionalFormatting>
  <conditionalFormatting sqref="E2:E30">
    <cfRule type="colorScale" priority="29">
      <colorScale>
        <cfvo type="min"/>
        <cfvo type="max"/>
        <color theme="4"/>
        <color theme="0"/>
      </colorScale>
    </cfRule>
  </conditionalFormatting>
  <conditionalFormatting sqref="E3:E30 E1">
    <cfRule type="colorScale" priority="30">
      <colorScale>
        <cfvo type="min"/>
        <cfvo type="max"/>
        <color theme="4"/>
        <color theme="0"/>
      </colorScale>
    </cfRule>
  </conditionalFormatting>
  <conditionalFormatting sqref="E1:F30">
    <cfRule type="containsText" dxfId="4" priority="18" operator="containsText" text="yes">
      <formula>NOT(ISERROR(SEARCH("yes",E1)))</formula>
    </cfRule>
  </conditionalFormatting>
  <conditionalFormatting sqref="H1:H30">
    <cfRule type="colorScale" priority="32">
      <colorScale>
        <cfvo type="min"/>
        <cfvo type="max"/>
        <color rgb="FFFF7128"/>
        <color rgb="FFFFEF9C"/>
      </colorScale>
    </cfRule>
    <cfRule type="colorScale" priority="33">
      <colorScale>
        <cfvo type="min"/>
        <cfvo type="max"/>
        <color rgb="FFFF7128"/>
        <color rgb="FFFFEF9C"/>
      </colorScale>
    </cfRule>
  </conditionalFormatting>
  <conditionalFormatting sqref="H2">
    <cfRule type="colorScale" priority="14">
      <colorScale>
        <cfvo type="min"/>
        <cfvo type="max"/>
        <color rgb="FFFF7128"/>
        <color rgb="FFFFEF9C"/>
      </colorScale>
    </cfRule>
  </conditionalFormatting>
  <conditionalFormatting sqref="H2:H16">
    <cfRule type="containsText" dxfId="3" priority="16" operator="containsText" text="yes">
      <formula>NOT(ISERROR(SEARCH("yes",H2)))</formula>
    </cfRule>
  </conditionalFormatting>
  <conditionalFormatting sqref="H2:H30">
    <cfRule type="containsText" dxfId="2" priority="35" operator="containsText" text="yes">
      <formula>NOT(ISERROR(SEARCH("yes",H2)))</formula>
    </cfRule>
  </conditionalFormatting>
  <conditionalFormatting sqref="I1:L1 N1 I2:I30">
    <cfRule type="containsText" dxfId="1" priority="24" operator="containsText" text="yes">
      <formula>NOT(ISERROR(SEARCH("yes",I1)))</formula>
    </cfRule>
  </conditionalFormatting>
  <conditionalFormatting sqref="K2:K30">
    <cfRule type="colorScale" priority="1">
      <colorScale>
        <cfvo type="min"/>
        <cfvo type="max"/>
        <color theme="8"/>
        <color theme="0"/>
      </colorScale>
    </cfRule>
  </conditionalFormatting>
  <conditionalFormatting sqref="K2:L30">
    <cfRule type="containsText" dxfId="0" priority="3" operator="containsText" text="yes">
      <formula>NOT(ISERROR(SEARCH("yes",K2)))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 Arnold</dc:creator>
  <cp:lastModifiedBy>Pieter Arnold</cp:lastModifiedBy>
  <dcterms:created xsi:type="dcterms:W3CDTF">2025-06-02T08:49:09Z</dcterms:created>
  <dcterms:modified xsi:type="dcterms:W3CDTF">2026-05-01T01:13:04Z</dcterms:modified>
</cp:coreProperties>
</file>